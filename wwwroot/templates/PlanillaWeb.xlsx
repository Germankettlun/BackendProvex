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rmanKettlun\Desktop\Provex\Programacion\Devops\BackendProvex\wwwroot\templates\"/>
    </mc:Choice>
  </mc:AlternateContent>
  <xr:revisionPtr revIDLastSave="0" documentId="13_ncr:1_{1E742EE1-C4D9-42B5-BB76-8CB4CCB3A9B3}" xr6:coauthVersionLast="47" xr6:coauthVersionMax="47" xr10:uidLastSave="{00000000-0000-0000-0000-000000000000}"/>
  <bookViews>
    <workbookView xWindow="0" yWindow="100" windowWidth="19200" windowHeight="11180" activeTab="1" xr2:uid="{9ED71960-EAAC-4F7E-A19F-0A7A7662BCB8}"/>
  </bookViews>
  <sheets>
    <sheet name="Embarques" sheetId="2" r:id="rId1"/>
    <sheet name="CtaCte" sheetId="3" r:id="rId2"/>
  </sheets>
  <definedNames>
    <definedName name="_xlnm._FilterDatabase" localSheetId="0" hidden="1">Embarques!$A$13:$AN$13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" i="3" l="1"/>
  <c r="I11" i="3"/>
  <c r="G11" i="3"/>
  <c r="I6" i="3" s="1"/>
  <c r="AM11" i="2"/>
  <c r="AJ11" i="2"/>
  <c r="AF11" i="2"/>
  <c r="AC11" i="2"/>
  <c r="Y11" i="2"/>
  <c r="U11" i="2"/>
  <c r="T11" i="2"/>
  <c r="I7" i="3" l="1"/>
  <c r="C10" i="2"/>
</calcChain>
</file>

<file path=xl/sharedStrings.xml><?xml version="1.0" encoding="utf-8"?>
<sst xmlns="http://schemas.openxmlformats.org/spreadsheetml/2006/main" count="68" uniqueCount="64">
  <si>
    <t>Datos Al:</t>
  </si>
  <si>
    <t>Totales ==&gt;</t>
  </si>
  <si>
    <t>Productor</t>
  </si>
  <si>
    <t>DETALLE DE EMBARQUES Y ESTIMACIONES DE RETORNOS A PRODUCTOR</t>
  </si>
  <si>
    <t>Nota : Información referencial sujeta a modificación</t>
  </si>
  <si>
    <t>Promedio Neto Caja Base</t>
  </si>
  <si>
    <t>DATOS GENERALES DEL EMBARQUE</t>
  </si>
  <si>
    <t>INFORMACION DE RETORNOS ESTIMADOS</t>
  </si>
  <si>
    <t>INFORMACION DE RETORNOS EFECTIVOS</t>
  </si>
  <si>
    <t>Grupo Productor</t>
  </si>
  <si>
    <t>Especie</t>
  </si>
  <si>
    <t>Nombre Variedad</t>
  </si>
  <si>
    <t>Mercado</t>
  </si>
  <si>
    <t>Nombre Recibidor</t>
  </si>
  <si>
    <t>Calibre</t>
  </si>
  <si>
    <t>Nombre Variedad Real</t>
  </si>
  <si>
    <t>Peso Neto</t>
  </si>
  <si>
    <t>Peso Neto Real</t>
  </si>
  <si>
    <t>Nave</t>
  </si>
  <si>
    <t>Semana Zarpe</t>
  </si>
  <si>
    <t>Fecha Zarpe</t>
  </si>
  <si>
    <t>Fecha Arribo</t>
  </si>
  <si>
    <t>Destino</t>
  </si>
  <si>
    <t>Tipo Nave</t>
  </si>
  <si>
    <t>Cod. Envop</t>
  </si>
  <si>
    <t>Desc. Envop</t>
  </si>
  <si>
    <t>Cajas Bases</t>
  </si>
  <si>
    <t>Cajas</t>
  </si>
  <si>
    <t>Condición de Llegada</t>
  </si>
  <si>
    <t>Determinante de Condición</t>
  </si>
  <si>
    <t>Estado Liquidación</t>
  </si>
  <si>
    <t>Total Retorno FOB</t>
  </si>
  <si>
    <t>FOB Unitario Bulto</t>
  </si>
  <si>
    <t>Comision</t>
  </si>
  <si>
    <t>Otros Gastos</t>
  </si>
  <si>
    <t>Total Retorno</t>
  </si>
  <si>
    <t>Retorno Unit. Cajas Bulto</t>
  </si>
  <si>
    <t>Retorno Unit. Cajas Base</t>
  </si>
  <si>
    <t>Total FOB Percibido</t>
  </si>
  <si>
    <t>FOB Unit. Percibido</t>
  </si>
  <si>
    <t>Comision Retorno</t>
  </si>
  <si>
    <t>Otros Costos</t>
  </si>
  <si>
    <t>Total Retorno Productor a la Fecha</t>
  </si>
  <si>
    <t>Retorno Productor Percibido Caja Bulto</t>
  </si>
  <si>
    <t>Retorno Productor Percibido Caja Base</t>
  </si>
  <si>
    <t>Dif. Retorno Estimado - Retorno Percibido</t>
  </si>
  <si>
    <t>Fecha Movimiento</t>
  </si>
  <si>
    <t>Grupo Calibre</t>
  </si>
  <si>
    <t>2025-07-28</t>
  </si>
  <si>
    <t>DETALLE DE DEPOSITOS CUENTA CORRIENTE</t>
  </si>
  <si>
    <t>Nota : Información referencial sujeta a confirmación</t>
  </si>
  <si>
    <t>TOTAL</t>
  </si>
  <si>
    <t>RETORNADO</t>
  </si>
  <si>
    <t>2025-04-01</t>
  </si>
  <si>
    <t>PAGADO</t>
  </si>
  <si>
    <t>SALDO FAVOR PRODUCTOR</t>
  </si>
  <si>
    <t>MOVIMIENTO CUENTA CORRIENTE</t>
  </si>
  <si>
    <t>Fecha</t>
  </si>
  <si>
    <t>Glosa</t>
  </si>
  <si>
    <t>Item</t>
  </si>
  <si>
    <t>SubItem</t>
  </si>
  <si>
    <t>Dolar (US$)</t>
  </si>
  <si>
    <t>T/Cambio</t>
  </si>
  <si>
    <t>Pesos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</si>
</sst>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\ [$USD]"/>
    <numFmt numFmtId="165" formatCode="#,##0_ ;\-#,##0\ "/>
    <numFmt numFmtId="166" formatCode="#,##0.00_ ;\-#,##0.00\ "/>
    <numFmt numFmtId="167" formatCode="#,##0.#0"/>
  </numFmts>
  <fonts count="1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4"/>
      <color indexed="9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1"/>
      <color rgb="FF030000"/>
      <name val="Aptos Narrow"/>
      <family val="2"/>
      <scheme val="minor"/>
    </font>
    <font>
      <b/>
      <sz val="11"/>
      <color indexed="8"/>
      <name val="Aptos Narrow"/>
      <family val="2"/>
      <scheme val="minor"/>
    </font>
    <font>
      <b/>
      <sz val="11"/>
      <color indexed="10"/>
      <name val="Aptos Narrow"/>
      <family val="2"/>
      <scheme val="minor"/>
    </font>
    <font>
      <b/>
      <sz val="10"/>
      <color indexed="9"/>
      <name val="Aptos Narrow"/>
      <family val="2"/>
      <scheme val="minor"/>
    </font>
    <font>
      <b/>
      <sz val="8"/>
      <color indexed="8"/>
      <name val="Aptos Narrow"/>
      <family val="2"/>
      <scheme val="minor"/>
    </font>
    <font>
      <sz val="8"/>
      <name val="Arial"/>
    </font>
    <font>
      <sz val="8"/>
      <color indexed="8"/>
      <name val="Aptos Narrow"/>
      <family val="2"/>
      <scheme val="minor"/>
    </font>
    <font>
      <b/>
      <sz val="8"/>
      <color theme="1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rgb="FFCEF07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rgb="FFFFE1E5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indexed="5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1">
    <xf numFmtId="0" fontId="0" fillId="0" borderId="0" xfId="0"/>
    <xf numFmtId="0" fontId="2" fillId="0" borderId="0" xfId="1"/>
    <xf numFmtId="0" fontId="1" fillId="0" borderId="0" xfId="0" applyFont="1"/>
    <xf numFmtId="4" fontId="0" fillId="0" borderId="0" xfId="0" applyNumberFormat="1"/>
    <xf numFmtId="15" fontId="1" fillId="0" borderId="0" xfId="0" applyNumberFormat="1" applyFont="1"/>
    <xf numFmtId="4" fontId="1" fillId="0" borderId="0" xfId="0" applyNumberFormat="1" applyFont="1"/>
    <xf numFmtId="0" fontId="7" fillId="3" borderId="0" xfId="0" applyFont="1" applyFill="1"/>
    <xf numFmtId="164" fontId="8" fillId="3" borderId="0" xfId="0" applyNumberFormat="1" applyFont="1" applyFill="1"/>
    <xf numFmtId="3" fontId="1" fillId="0" borderId="0" xfId="0" applyNumberFormat="1" applyFont="1"/>
    <xf numFmtId="0" fontId="10" fillId="4" borderId="1" xfId="0" applyFont="1" applyFill="1" applyBorder="1" applyAlignment="1">
      <alignment horizontal="center" vertical="center" wrapText="1"/>
    </xf>
    <xf numFmtId="4" fontId="10" fillId="4" borderId="1" xfId="0" applyNumberFormat="1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166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166" fontId="1" fillId="4" borderId="2" xfId="0" applyNumberFormat="1" applyFont="1" applyFill="1" applyBorder="1"/>
    <xf numFmtId="165" fontId="1" fillId="4" borderId="2" xfId="0" applyNumberFormat="1" applyFont="1" applyFill="1" applyBorder="1"/>
    <xf numFmtId="166" fontId="1" fillId="5" borderId="2" xfId="0" applyNumberFormat="1" applyFont="1" applyFill="1" applyBorder="1"/>
    <xf numFmtId="166" fontId="1" fillId="0" borderId="0" xfId="0" applyNumberFormat="1" applyFont="1"/>
    <xf numFmtId="166" fontId="1" fillId="6" borderId="2" xfId="0" applyNumberFormat="1" applyFont="1" applyFill="1" applyBorder="1"/>
    <xf numFmtId="0" fontId="11" fillId="10" borderId="3" xfId="0" applyFont="1" applyFill="1" applyBorder="1" applyAlignment="1">
      <alignment horizontal="left" vertical="center" wrapText="1"/>
    </xf>
    <xf numFmtId="0" fontId="11" fillId="10" borderId="3" xfId="0" applyFont="1" applyFill="1" applyBorder="1" applyAlignment="1">
      <alignment horizontal="right" vertical="center" wrapText="1"/>
    </xf>
    <xf numFmtId="166" fontId="12" fillId="4" borderId="1" xfId="0" applyNumberFormat="1" applyFont="1" applyFill="1" applyBorder="1" applyAlignment="1">
      <alignment horizontal="right" vertical="center" wrapText="1"/>
    </xf>
    <xf numFmtId="165" fontId="12" fillId="4" borderId="1" xfId="0" applyNumberFormat="1" applyFont="1" applyFill="1" applyBorder="1" applyAlignment="1">
      <alignment horizontal="right" vertical="center" wrapText="1"/>
    </xf>
    <xf numFmtId="0" fontId="11" fillId="11" borderId="3" xfId="0" applyFont="1" applyFill="1" applyBorder="1" applyAlignment="1">
      <alignment horizontal="right" vertical="center" wrapText="1"/>
    </xf>
    <xf numFmtId="166" fontId="12" fillId="5" borderId="1" xfId="0" applyNumberFormat="1" applyFont="1" applyFill="1" applyBorder="1" applyAlignment="1">
      <alignment horizontal="right" vertical="center" wrapText="1"/>
    </xf>
    <xf numFmtId="166" fontId="12" fillId="9" borderId="1" xfId="0" applyNumberFormat="1" applyFont="1" applyFill="1" applyBorder="1" applyAlignment="1">
      <alignment horizontal="right" vertical="center" wrapText="1"/>
    </xf>
    <xf numFmtId="0" fontId="11" fillId="9" borderId="3" xfId="0" applyFont="1" applyFill="1" applyBorder="1" applyAlignment="1">
      <alignment horizontal="left" vertical="center" wrapText="1"/>
    </xf>
    <xf numFmtId="0" fontId="0" fillId="0" borderId="0" xfId="0" applyAlignment="1">
      <alignment horizontal="right"/>
    </xf>
    <xf numFmtId="0" fontId="2" fillId="0" borderId="0" xfId="1" applyAlignment="1">
      <alignment horizontal="right"/>
    </xf>
    <xf numFmtId="0" fontId="1" fillId="0" borderId="1" xfId="0" applyFont="1" applyBorder="1" applyAlignment="1">
      <alignment horizontal="left"/>
    </xf>
    <xf numFmtId="167" fontId="1" fillId="0" borderId="1" xfId="0" applyNumberFormat="1" applyFont="1" applyBorder="1" applyAlignment="1">
      <alignment horizontal="right"/>
    </xf>
    <xf numFmtId="15" fontId="0" fillId="0" borderId="0" xfId="0" applyNumberFormat="1"/>
    <xf numFmtId="4" fontId="1" fillId="3" borderId="0" xfId="0" applyNumberFormat="1" applyFont="1" applyFill="1" applyAlignment="1">
      <alignment horizontal="right"/>
    </xf>
    <xf numFmtId="3" fontId="1" fillId="3" borderId="0" xfId="0" applyNumberFormat="1" applyFont="1" applyFill="1" applyAlignment="1">
      <alignment horizontal="right"/>
    </xf>
    <xf numFmtId="0" fontId="13" fillId="4" borderId="2" xfId="0" applyFont="1" applyFill="1" applyBorder="1"/>
    <xf numFmtId="0" fontId="13" fillId="0" borderId="0" xfId="0" applyFont="1"/>
    <xf numFmtId="0" fontId="0" fillId="0" borderId="1" xfId="0" applyBorder="1"/>
    <xf numFmtId="166" fontId="0" fillId="0" borderId="1" xfId="0" applyNumberFormat="1" applyBorder="1" applyAlignment="1">
      <alignment horizontal="right"/>
    </xf>
    <xf numFmtId="165" fontId="0" fillId="0" borderId="1" xfId="0" applyNumberFormat="1" applyBorder="1" applyAlignment="1">
      <alignment horizontal="right"/>
    </xf>
    <xf numFmtId="0" fontId="3" fillId="2" borderId="0" xfId="0" applyFont="1" applyFill="1"/>
    <xf numFmtId="0" fontId="5" fillId="0" borderId="0" xfId="0" applyFont="1"/>
    <xf numFmtId="0" fontId="6" fillId="0" borderId="0" xfId="0" applyFont="1"/>
    <xf numFmtId="0" fontId="9" fillId="2" borderId="1" xfId="0" applyFont="1" applyFill="1" applyBorder="1" applyAlignment="1">
      <alignment horizontal="center"/>
    </xf>
    <xf numFmtId="0" fontId="4" fillId="7" borderId="1" xfId="0" applyFont="1" applyFill="1" applyBorder="1" applyAlignment="1">
      <alignment horizontal="center"/>
    </xf>
    <xf numFmtId="0" fontId="4" fillId="8" borderId="1" xfId="0" applyFont="1" applyFill="1" applyBorder="1" applyAlignment="1">
      <alignment horizontal="center"/>
    </xf>
    <xf numFmtId="0" fontId="0" fillId="0" borderId="0" xfId="0"/>
    <xf numFmtId="0" fontId="1" fillId="0" borderId="1" xfId="0" applyFont="1" applyBorder="1"/>
    <xf numFmtId="0" fontId="4" fillId="12" borderId="1" xfId="0" applyFont="1" applyFill="1" applyBorder="1"/>
    <xf numFmtId="0" fontId="4" fillId="12" borderId="4" xfId="0" applyFont="1" applyFill="1" applyBorder="1" applyAlignment="1">
      <alignment horizontal="center"/>
    </xf>
    <xf numFmtId="0" fontId="4" fillId="12" borderId="5" xfId="0" applyFont="1" applyFill="1" applyBorder="1" applyAlignment="1">
      <alignment horizont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C191F-97CC-408E-8DAA-0033BFD2358C}">
  <dimension ref="A1:AN14"/>
  <sheetViews>
    <sheetView topLeftCell="AA5" workbookViewId="0">
      <selection activeCell="AH15" sqref="AH15"/>
    </sheetView>
  </sheetViews>
  <sheetFormatPr baseColWidth="10" defaultRowHeight="14.5" x14ac:dyDescent="0.35"/>
  <cols>
    <col min="6" max="6" width="25.90625" customWidth="1"/>
    <col min="12" max="12" width="21.26953125" customWidth="1"/>
    <col min="20" max="20" width="11.81640625" style="13" bestFit="1" customWidth="1"/>
    <col min="21" max="21" width="10.6328125" style="14"/>
    <col min="25" max="25" width="12.81640625" style="13" bestFit="1" customWidth="1"/>
    <col min="26" max="28" width="10.6328125" style="13"/>
    <col min="29" max="29" width="12.81640625" style="13" bestFit="1" customWidth="1"/>
    <col min="30" max="31" width="10.6328125" style="13"/>
    <col min="32" max="32" width="12.81640625" style="13" bestFit="1" customWidth="1"/>
    <col min="33" max="35" width="10.6328125" style="13"/>
    <col min="36" max="36" width="12.81640625" style="13" bestFit="1" customWidth="1"/>
    <col min="37" max="38" width="10.6328125" style="13"/>
    <col min="39" max="39" width="11.81640625" style="13" bestFit="1" customWidth="1"/>
  </cols>
  <sheetData>
    <row r="1" spans="1:40" x14ac:dyDescent="0.35">
      <c r="J1" s="3"/>
      <c r="K1" s="3"/>
      <c r="T1"/>
      <c r="U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</row>
    <row r="2" spans="1:40" x14ac:dyDescent="0.35">
      <c r="J2" s="3"/>
      <c r="K2" s="3"/>
      <c r="T2"/>
      <c r="U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</row>
    <row r="3" spans="1:40" x14ac:dyDescent="0.35">
      <c r="J3" s="3"/>
      <c r="K3" s="3"/>
      <c r="T3"/>
      <c r="U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</row>
    <row r="4" spans="1:40" x14ac:dyDescent="0.35">
      <c r="J4" s="3"/>
      <c r="K4" s="3"/>
      <c r="T4"/>
      <c r="U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</row>
    <row r="5" spans="1:40" ht="18.5" x14ac:dyDescent="0.45">
      <c r="A5" s="40" t="s">
        <v>3</v>
      </c>
      <c r="B5" s="41"/>
      <c r="C5" s="41"/>
      <c r="D5" s="41"/>
      <c r="E5" s="41"/>
      <c r="F5" s="41"/>
      <c r="G5" s="41"/>
      <c r="H5" s="41"/>
      <c r="I5" s="41"/>
      <c r="J5" s="3"/>
      <c r="K5" s="3"/>
      <c r="T5"/>
      <c r="U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</row>
    <row r="6" spans="1:40" x14ac:dyDescent="0.35">
      <c r="A6" s="42" t="s">
        <v>4</v>
      </c>
      <c r="B6" s="42"/>
      <c r="C6" s="42"/>
      <c r="D6" s="42"/>
      <c r="E6" s="42"/>
      <c r="F6" s="42"/>
      <c r="J6" s="3"/>
      <c r="K6" s="3"/>
      <c r="T6"/>
      <c r="U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</row>
    <row r="7" spans="1:40" x14ac:dyDescent="0.35">
      <c r="J7" s="3"/>
      <c r="K7" s="3"/>
      <c r="T7"/>
      <c r="U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</row>
    <row r="8" spans="1:40" x14ac:dyDescent="0.35">
      <c r="A8" s="2" t="s">
        <v>0</v>
      </c>
      <c r="B8" s="4" t="s">
        <v>48</v>
      </c>
      <c r="C8" s="2"/>
      <c r="D8" s="1"/>
      <c r="E8" s="2"/>
      <c r="F8" s="2"/>
      <c r="G8" s="2"/>
      <c r="H8" s="2"/>
      <c r="I8" s="2"/>
      <c r="J8" s="5"/>
      <c r="K8" s="5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</row>
    <row r="9" spans="1:40" x14ac:dyDescent="0.35">
      <c r="J9" s="3"/>
      <c r="K9" s="3"/>
      <c r="T9"/>
      <c r="U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</row>
    <row r="10" spans="1:40" x14ac:dyDescent="0.35">
      <c r="A10" s="6" t="s">
        <v>5</v>
      </c>
      <c r="B10" s="6"/>
      <c r="C10" s="7" t="e">
        <f>AC11/T11</f>
        <v>#DIV/0!</v>
      </c>
      <c r="D10" s="2"/>
      <c r="E10" s="2"/>
      <c r="F10" s="2"/>
      <c r="G10" s="2"/>
      <c r="H10" s="2"/>
      <c r="I10" s="2"/>
      <c r="J10" s="5"/>
      <c r="K10" s="5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18"/>
      <c r="AG10" s="18"/>
      <c r="AH10" s="18"/>
      <c r="AI10" s="18"/>
      <c r="AJ10" s="18"/>
      <c r="AK10" s="18"/>
      <c r="AL10" s="18"/>
      <c r="AM10" s="18"/>
      <c r="AN10" s="2"/>
    </row>
    <row r="11" spans="1:40" x14ac:dyDescent="0.35">
      <c r="A11" s="2"/>
      <c r="B11" s="2"/>
      <c r="C11" s="2"/>
      <c r="D11" s="2"/>
      <c r="E11" s="2"/>
      <c r="F11" s="2"/>
      <c r="G11" s="2"/>
      <c r="H11" s="2"/>
      <c r="I11" s="2"/>
      <c r="J11" s="5"/>
      <c r="K11" s="5"/>
      <c r="L11" s="2"/>
      <c r="M11" s="2"/>
      <c r="N11" s="2"/>
      <c r="O11" s="2"/>
      <c r="P11" s="2"/>
      <c r="Q11" s="8"/>
      <c r="R11" s="8" t="s">
        <v>1</v>
      </c>
      <c r="S11" s="2"/>
      <c r="T11" s="15">
        <f>SUBTOTAL(9,T14:T967)</f>
        <v>0</v>
      </c>
      <c r="U11" s="16">
        <f>SUBTOTAL(9,U14:U967)</f>
        <v>0</v>
      </c>
      <c r="V11" s="2"/>
      <c r="W11" s="2"/>
      <c r="X11" s="2"/>
      <c r="Y11" s="17">
        <f>SUBTOTAL(9,Y14:Y967)</f>
        <v>0</v>
      </c>
      <c r="Z11" s="2"/>
      <c r="AA11" s="2"/>
      <c r="AB11" s="2"/>
      <c r="AC11" s="17">
        <f>SUBTOTAL(9,AC14:AC967)</f>
        <v>0</v>
      </c>
      <c r="AD11" s="2"/>
      <c r="AE11" s="2"/>
      <c r="AF11" s="19">
        <f>SUBTOTAL(9,AF14:AF967)</f>
        <v>0</v>
      </c>
      <c r="AG11" s="18"/>
      <c r="AH11" s="18"/>
      <c r="AI11" s="18"/>
      <c r="AJ11" s="19">
        <f>SUBTOTAL(9,AJ14:AJ967)</f>
        <v>0</v>
      </c>
      <c r="AK11" s="18"/>
      <c r="AL11" s="18"/>
      <c r="AM11" s="19">
        <f>SUBTOTAL(9,AM14:AM967)</f>
        <v>0</v>
      </c>
      <c r="AN11" s="2"/>
    </row>
    <row r="12" spans="1:40" x14ac:dyDescent="0.35">
      <c r="A12" s="43" t="s">
        <v>6</v>
      </c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4" t="s">
        <v>7</v>
      </c>
      <c r="W12" s="44"/>
      <c r="X12" s="44"/>
      <c r="Y12" s="44"/>
      <c r="Z12" s="44"/>
      <c r="AA12" s="44"/>
      <c r="AB12" s="44"/>
      <c r="AC12" s="44"/>
      <c r="AD12" s="44"/>
      <c r="AE12" s="44"/>
      <c r="AF12" s="45" t="s">
        <v>8</v>
      </c>
      <c r="AG12" s="45"/>
      <c r="AH12" s="45"/>
      <c r="AI12" s="45"/>
      <c r="AJ12" s="45"/>
      <c r="AK12" s="45"/>
      <c r="AL12" s="45"/>
      <c r="AM12" s="45"/>
      <c r="AN12" s="45"/>
    </row>
    <row r="13" spans="1:40" ht="42" x14ac:dyDescent="0.35">
      <c r="A13" s="9" t="s">
        <v>9</v>
      </c>
      <c r="B13" s="9" t="s">
        <v>2</v>
      </c>
      <c r="C13" s="9" t="s">
        <v>10</v>
      </c>
      <c r="D13" s="9" t="s">
        <v>11</v>
      </c>
      <c r="E13" s="9" t="s">
        <v>12</v>
      </c>
      <c r="F13" s="9" t="s">
        <v>13</v>
      </c>
      <c r="G13" s="9" t="s">
        <v>47</v>
      </c>
      <c r="H13" s="9" t="s">
        <v>14</v>
      </c>
      <c r="I13" s="9" t="s">
        <v>15</v>
      </c>
      <c r="J13" s="10" t="s">
        <v>16</v>
      </c>
      <c r="K13" s="10" t="s">
        <v>17</v>
      </c>
      <c r="L13" s="9" t="s">
        <v>18</v>
      </c>
      <c r="M13" s="9" t="s">
        <v>19</v>
      </c>
      <c r="N13" s="9" t="s">
        <v>20</v>
      </c>
      <c r="O13" s="9" t="s">
        <v>21</v>
      </c>
      <c r="P13" s="9" t="s">
        <v>22</v>
      </c>
      <c r="Q13" s="9" t="s">
        <v>23</v>
      </c>
      <c r="R13" s="9" t="s">
        <v>24</v>
      </c>
      <c r="S13" s="9" t="s">
        <v>25</v>
      </c>
      <c r="T13" s="9" t="s">
        <v>26</v>
      </c>
      <c r="U13" s="9" t="s">
        <v>27</v>
      </c>
      <c r="V13" s="11" t="s">
        <v>28</v>
      </c>
      <c r="W13" s="11" t="s">
        <v>29</v>
      </c>
      <c r="X13" s="11" t="s">
        <v>30</v>
      </c>
      <c r="Y13" s="11" t="s">
        <v>31</v>
      </c>
      <c r="Z13" s="11" t="s">
        <v>32</v>
      </c>
      <c r="AA13" s="11" t="s">
        <v>33</v>
      </c>
      <c r="AB13" s="11" t="s">
        <v>34</v>
      </c>
      <c r="AC13" s="11" t="s">
        <v>35</v>
      </c>
      <c r="AD13" s="11" t="s">
        <v>36</v>
      </c>
      <c r="AE13" s="11" t="s">
        <v>37</v>
      </c>
      <c r="AF13" s="12" t="s">
        <v>38</v>
      </c>
      <c r="AG13" s="12" t="s">
        <v>39</v>
      </c>
      <c r="AH13" s="12" t="s">
        <v>40</v>
      </c>
      <c r="AI13" s="12" t="s">
        <v>41</v>
      </c>
      <c r="AJ13" s="12" t="s">
        <v>42</v>
      </c>
      <c r="AK13" s="12" t="s">
        <v>43</v>
      </c>
      <c r="AL13" s="12" t="s">
        <v>44</v>
      </c>
      <c r="AM13" s="12" t="s">
        <v>45</v>
      </c>
      <c r="AN13" s="12" t="s">
        <v>46</v>
      </c>
    </row>
    <row r="14" spans="1:40" x14ac:dyDescent="0.35">
      <c r="A14" s="20"/>
      <c r="B14" s="20"/>
      <c r="C14" s="20"/>
      <c r="D14" s="20"/>
      <c r="E14" s="20"/>
      <c r="F14" s="20"/>
      <c r="G14" s="20"/>
      <c r="H14" s="20"/>
      <c r="I14" s="20"/>
      <c r="J14" s="21"/>
      <c r="K14" s="21"/>
      <c r="L14" s="20"/>
      <c r="M14" s="20"/>
      <c r="N14" s="20"/>
      <c r="O14" s="20"/>
      <c r="P14" s="20"/>
      <c r="Q14" s="20"/>
      <c r="R14" s="20"/>
      <c r="S14" s="20"/>
      <c r="T14" s="22"/>
      <c r="U14" s="23"/>
      <c r="V14" s="24"/>
      <c r="W14" s="24"/>
      <c r="X14" s="24"/>
      <c r="Y14" s="25"/>
      <c r="Z14" s="25"/>
      <c r="AA14" s="25"/>
      <c r="AB14" s="25"/>
      <c r="AC14" s="25"/>
      <c r="AD14" s="25"/>
      <c r="AE14" s="25"/>
      <c r="AF14" s="26"/>
      <c r="AG14" s="26"/>
      <c r="AH14" s="26"/>
      <c r="AI14" s="26"/>
      <c r="AJ14" s="26"/>
      <c r="AK14" s="26"/>
      <c r="AL14" s="26"/>
      <c r="AM14" s="26"/>
      <c r="AN14" s="27"/>
    </row>
  </sheetData>
  <autoFilter ref="A13:AN13" xr:uid="{C9CC191F-97CC-408E-8DAA-0033BFD2358C}"/>
  <mergeCells count="5">
    <mergeCell ref="A5:I5"/>
    <mergeCell ref="A6:F6"/>
    <mergeCell ref="A12:U12"/>
    <mergeCell ref="V12:AE12"/>
    <mergeCell ref="AF12:AN1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D01B0-50F4-4593-9F61-0275245B0B22}">
  <dimension ref="A1:J14"/>
  <sheetViews>
    <sheetView tabSelected="1" topLeftCell="B1" workbookViewId="0">
      <selection activeCell="D19" sqref="D19"/>
    </sheetView>
  </sheetViews>
  <sheetFormatPr baseColWidth="10" defaultRowHeight="14.5" x14ac:dyDescent="0.35"/>
  <cols>
    <col min="1" max="1" width="28.81640625" customWidth="1"/>
    <col min="2" max="2" width="22.08984375" customWidth="1"/>
    <col min="3" max="3" width="14" customWidth="1"/>
    <col min="4" max="4" width="40.6328125" customWidth="1"/>
    <col min="5" max="5" width="14.7265625" customWidth="1"/>
    <col min="6" max="6" width="13.26953125" customWidth="1"/>
    <col min="7" max="7" width="13.7265625" customWidth="1"/>
    <col min="8" max="8" width="11.90625" customWidth="1"/>
    <col min="9" max="9" width="12.81640625" customWidth="1"/>
  </cols>
  <sheetData>
    <row r="1" spans="1:10" x14ac:dyDescent="0.35">
      <c r="F1" s="28"/>
      <c r="G1" s="28"/>
      <c r="H1" s="28"/>
      <c r="I1" s="29"/>
    </row>
    <row r="2" spans="1:10" x14ac:dyDescent="0.35">
      <c r="F2" s="28"/>
      <c r="G2" s="28"/>
      <c r="H2" s="28"/>
      <c r="I2" s="28"/>
    </row>
    <row r="3" spans="1:10" x14ac:dyDescent="0.35">
      <c r="F3" s="28"/>
      <c r="G3" s="28"/>
      <c r="H3" s="28"/>
      <c r="I3" s="28"/>
    </row>
    <row r="4" spans="1:10" x14ac:dyDescent="0.35">
      <c r="F4" s="28"/>
      <c r="G4" s="28"/>
      <c r="H4" s="47" t="s">
        <v>51</v>
      </c>
      <c r="I4" s="47"/>
    </row>
    <row r="5" spans="1:10" ht="18.5" x14ac:dyDescent="0.45">
      <c r="A5" s="40" t="s">
        <v>49</v>
      </c>
      <c r="B5" s="40"/>
      <c r="C5" s="40"/>
      <c r="D5" s="40"/>
      <c r="E5" s="40"/>
      <c r="F5" s="40"/>
      <c r="G5" s="28"/>
      <c r="H5" s="30" t="s">
        <v>52</v>
      </c>
      <c r="I5" s="31">
        <f>Embarques!AJ11</f>
        <v>0</v>
      </c>
    </row>
    <row r="6" spans="1:10" x14ac:dyDescent="0.35">
      <c r="B6" s="46" t="s">
        <v>50</v>
      </c>
      <c r="C6" s="46"/>
      <c r="D6" s="46"/>
      <c r="E6" s="46"/>
      <c r="F6" s="46"/>
      <c r="G6" s="28"/>
      <c r="H6" s="30" t="s">
        <v>54</v>
      </c>
      <c r="I6" s="31">
        <f>G11</f>
        <v>0</v>
      </c>
    </row>
    <row r="7" spans="1:10" x14ac:dyDescent="0.35">
      <c r="F7" s="28"/>
      <c r="G7" s="28"/>
      <c r="H7" s="30" t="s">
        <v>55</v>
      </c>
      <c r="I7" s="31">
        <f>I5-I6</f>
        <v>0</v>
      </c>
    </row>
    <row r="8" spans="1:10" x14ac:dyDescent="0.35">
      <c r="A8" t="s">
        <v>0</v>
      </c>
      <c r="B8" s="32" t="s">
        <v>53</v>
      </c>
      <c r="F8" s="28"/>
      <c r="G8" s="28"/>
      <c r="H8" s="28"/>
      <c r="I8" s="28"/>
    </row>
    <row r="9" spans="1:10" x14ac:dyDescent="0.35">
      <c r="F9" s="28"/>
      <c r="G9" s="28"/>
      <c r="H9" s="28"/>
      <c r="I9" s="28"/>
    </row>
    <row r="10" spans="1:10" x14ac:dyDescent="0.35">
      <c r="F10" s="28"/>
      <c r="G10" s="28"/>
      <c r="H10" s="28"/>
      <c r="I10" s="28"/>
    </row>
    <row r="11" spans="1:10" x14ac:dyDescent="0.35">
      <c r="A11" s="2" t="s">
        <v>1</v>
      </c>
      <c r="B11" s="2"/>
      <c r="C11" s="2"/>
      <c r="D11" s="2"/>
      <c r="E11" s="2"/>
      <c r="G11" s="33">
        <f>SUBTOTAL(9,G14:G100000)</f>
        <v>0</v>
      </c>
      <c r="I11" s="34">
        <f>SUBTOTAL(9,I14:I100000)</f>
        <v>0</v>
      </c>
    </row>
    <row r="12" spans="1:10" x14ac:dyDescent="0.35">
      <c r="A12" s="48" t="s">
        <v>56</v>
      </c>
      <c r="B12" s="48"/>
      <c r="C12" s="48"/>
      <c r="D12" s="48"/>
      <c r="E12" s="48"/>
      <c r="F12" s="48"/>
      <c r="G12" s="49"/>
      <c r="H12" s="50"/>
      <c r="I12" s="50"/>
    </row>
    <row r="13" spans="1:10" x14ac:dyDescent="0.35">
      <c r="A13" s="35" t="s">
        <v>2</v>
      </c>
      <c r="B13" s="35" t="s">
        <v>10</v>
      </c>
      <c r="C13" s="35" t="s">
        <v>57</v>
      </c>
      <c r="D13" s="35" t="s">
        <v>58</v>
      </c>
      <c r="E13" s="35" t="s">
        <v>59</v>
      </c>
      <c r="F13" s="35" t="s">
        <v>60</v>
      </c>
      <c r="G13" s="35" t="s">
        <v>61</v>
      </c>
      <c r="H13" s="35" t="s">
        <v>62</v>
      </c>
      <c r="I13" s="35" t="s">
        <v>63</v>
      </c>
      <c r="J13" s="36"/>
    </row>
    <row r="14" spans="1:10" x14ac:dyDescent="0.35">
      <c r="A14" s="37"/>
      <c r="B14" s="37"/>
      <c r="C14" s="37"/>
      <c r="D14" s="37"/>
      <c r="E14" s="37"/>
      <c r="F14" s="37"/>
      <c r="G14" s="38"/>
      <c r="H14" s="38"/>
      <c r="I14" s="39"/>
    </row>
  </sheetData>
  <mergeCells count="5">
    <mergeCell ref="A5:F5"/>
    <mergeCell ref="B6:F6"/>
    <mergeCell ref="H4:I4"/>
    <mergeCell ref="A12:F12"/>
    <mergeCell ref="G12:I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Embarques</vt:lpstr>
      <vt:lpstr>CtaCte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Karen Parra</dc:creator>
  <cp:lastModifiedBy>German Kettlun</cp:lastModifiedBy>
  <dcterms:created xsi:type="dcterms:W3CDTF">2024-10-10T20:20:33Z</dcterms:created>
  <dcterms:modified xsi:type="dcterms:W3CDTF">2025-08-22T18:51:21Z</dcterms:modified>
</cp:coreProperties>
</file>